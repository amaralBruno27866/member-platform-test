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Amaral\code-space\osot-dataverse-api-phantom\src\classes\others\order\"/>
    </mc:Choice>
  </mc:AlternateContent>
  <xr:revisionPtr revIDLastSave="0" documentId="8_{F1E3A7C2-9BF2-4387-9D32-21E5EA0C2EA0}" xr6:coauthVersionLast="47" xr6:coauthVersionMax="47" xr10:uidLastSave="{00000000-0000-0000-0000-000000000000}"/>
  <bookViews>
    <workbookView xWindow="-120" yWindow="-120" windowWidth="29040" windowHeight="15720" xr2:uid="{84FCC212-2A4F-486F-877D-52067971056F}"/>
  </bookViews>
  <sheets>
    <sheet name="Order Summary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3" i="1"/>
  <c r="C32" i="1"/>
  <c r="G24" i="1"/>
  <c r="G23" i="1"/>
  <c r="F23" i="1"/>
  <c r="G22" i="1"/>
  <c r="F22" i="1"/>
  <c r="G21" i="1"/>
  <c r="F21" i="1"/>
  <c r="G20" i="1"/>
  <c r="F20" i="1"/>
  <c r="C3" i="1"/>
  <c r="G29" i="1" l="1"/>
</calcChain>
</file>

<file path=xl/sharedStrings.xml><?xml version="1.0" encoding="utf-8"?>
<sst xmlns="http://schemas.openxmlformats.org/spreadsheetml/2006/main" count="57" uniqueCount="51">
  <si>
    <t>Order number</t>
  </si>
  <si>
    <t>Date</t>
  </si>
  <si>
    <t>Sessiona id</t>
  </si>
  <si>
    <t>User name</t>
  </si>
  <si>
    <t>Email</t>
  </si>
  <si>
    <t>Phone</t>
  </si>
  <si>
    <t>Address</t>
  </si>
  <si>
    <t>Organization</t>
  </si>
  <si>
    <t>Categorgy</t>
  </si>
  <si>
    <t>Period</t>
  </si>
  <si>
    <t>Status</t>
  </si>
  <si>
    <t>Certificate</t>
  </si>
  <si>
    <t>List of product</t>
  </si>
  <si>
    <t>#</t>
  </si>
  <si>
    <t>Description</t>
  </si>
  <si>
    <t>Price</t>
  </si>
  <si>
    <t>Tax</t>
  </si>
  <si>
    <t>Total</t>
  </si>
  <si>
    <t>Financial Summary</t>
  </si>
  <si>
    <t>Subtotal</t>
  </si>
  <si>
    <t>Discount</t>
  </si>
  <si>
    <t>Payment method</t>
  </si>
  <si>
    <t>Processor</t>
  </si>
  <si>
    <t>Order Detail</t>
  </si>
  <si>
    <t>User's detail</t>
  </si>
  <si>
    <t>Organization's detail</t>
  </si>
  <si>
    <t>Membershipé detail</t>
  </si>
  <si>
    <t>Product name</t>
  </si>
  <si>
    <t>osot_ord_0004321</t>
  </si>
  <si>
    <t>12345-abscu-78de4-a4s5e-88t70-0100q1</t>
  </si>
  <si>
    <t>Bruno Amaral</t>
  </si>
  <si>
    <t>b.alencar.amaral@gmail.com</t>
  </si>
  <si>
    <t>437-313-0319</t>
  </si>
  <si>
    <t>19 Kew Gdns, Richmond Hill - ON, L4B-1R6</t>
  </si>
  <si>
    <t>Ontario Society of Occupational Theraphists</t>
  </si>
  <si>
    <t>110 Sheppard Ave E Suite 810, North York, ON M2N 6Y8</t>
  </si>
  <si>
    <t>OT - Practicing</t>
  </si>
  <si>
    <t>From Fabruary 03, 2026 until October 14, 2026</t>
  </si>
  <si>
    <t>New member</t>
  </si>
  <si>
    <t>osot-0003519</t>
  </si>
  <si>
    <t>20252026 Membership</t>
  </si>
  <si>
    <t>2025 Membership Fees
Expires on October 1st 2026</t>
  </si>
  <si>
    <t>Professional Liability - $ 6,000 million</t>
  </si>
  <si>
    <t>A liability limit of at least $5 million per incident.</t>
  </si>
  <si>
    <t>2025 Extended General Liability - $ 5 million</t>
  </si>
  <si>
    <t>2025 Clinic Coverage - $ 50,000 limit</t>
  </si>
  <si>
    <t>Donation $25</t>
  </si>
  <si>
    <t>Donation</t>
  </si>
  <si>
    <t>ID</t>
  </si>
  <si>
    <t>Credit Card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</si>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</sst>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" fillId="0" borderId="1" xfId="2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left" vertical="center"/>
    </xf>
    <xf numFmtId="44" fontId="0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.alencar.amar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C197-837A-42BB-AB80-F14FBA672CF0}">
  <dimension ref="A1:G43"/>
  <sheetViews>
    <sheetView tabSelected="1" zoomScaleNormal="100" workbookViewId="0">
      <selection activeCell="J29" sqref="J29"/>
    </sheetView>
  </sheetViews>
  <sheetFormatPr defaultRowHeight="15" x14ac:dyDescent="0.25"/>
  <cols>
    <col min="1" max="1" width="7.42578125" style="3" customWidth="1"/>
    <col min="2" max="2" width="9.140625" style="3"/>
    <col min="3" max="3" width="23.42578125" style="3" customWidth="1"/>
    <col min="4" max="4" width="27.5703125" style="3" customWidth="1"/>
    <col min="5" max="16384" width="9.140625" style="3"/>
  </cols>
  <sheetData>
    <row r="1" spans="1:7" x14ac:dyDescent="0.25">
      <c r="A1" s="7" t="s">
        <v>23</v>
      </c>
      <c r="B1" s="7"/>
      <c r="C1" s="7"/>
      <c r="D1" s="7"/>
      <c r="E1" s="7"/>
      <c r="F1" s="7"/>
      <c r="G1" s="7"/>
    </row>
    <row r="2" spans="1:7" x14ac:dyDescent="0.25">
      <c r="A2" s="8" t="s">
        <v>0</v>
      </c>
      <c r="B2" s="8"/>
      <c r="C2" s="4" t="s">
        <v>28</v>
      </c>
      <c r="D2" s="4"/>
      <c r="E2" s="4"/>
      <c r="F2" s="4"/>
      <c r="G2" s="4"/>
    </row>
    <row r="3" spans="1:7" x14ac:dyDescent="0.25">
      <c r="A3" s="8" t="s">
        <v>1</v>
      </c>
      <c r="B3" s="8"/>
      <c r="C3" s="9">
        <f ca="1">TODAY()</f>
        <v>46056</v>
      </c>
      <c r="D3" s="4"/>
      <c r="E3" s="4"/>
      <c r="F3" s="4"/>
      <c r="G3" s="4"/>
    </row>
    <row r="4" spans="1:7" x14ac:dyDescent="0.25">
      <c r="A4" s="8" t="s">
        <v>2</v>
      </c>
      <c r="B4" s="8"/>
      <c r="C4" s="4" t="s">
        <v>29</v>
      </c>
      <c r="D4" s="4"/>
      <c r="E4" s="4"/>
      <c r="F4" s="4"/>
      <c r="G4" s="4"/>
    </row>
    <row r="5" spans="1:7" x14ac:dyDescent="0.25">
      <c r="A5" s="7" t="s">
        <v>24</v>
      </c>
      <c r="B5" s="7"/>
      <c r="C5" s="7"/>
      <c r="D5" s="7"/>
      <c r="E5" s="7"/>
      <c r="F5" s="7"/>
      <c r="G5" s="7"/>
    </row>
    <row r="6" spans="1:7" x14ac:dyDescent="0.25">
      <c r="A6" s="8" t="s">
        <v>3</v>
      </c>
      <c r="B6" s="8"/>
      <c r="C6" s="4" t="s">
        <v>30</v>
      </c>
      <c r="D6" s="4"/>
      <c r="E6" s="4"/>
      <c r="F6" s="4"/>
      <c r="G6" s="4"/>
    </row>
    <row r="7" spans="1:7" x14ac:dyDescent="0.25">
      <c r="A7" s="8" t="s">
        <v>4</v>
      </c>
      <c r="B7" s="8"/>
      <c r="C7" s="10" t="s">
        <v>31</v>
      </c>
      <c r="D7" s="4"/>
      <c r="E7" s="4"/>
      <c r="F7" s="4"/>
      <c r="G7" s="4"/>
    </row>
    <row r="8" spans="1:7" x14ac:dyDescent="0.25">
      <c r="A8" s="8" t="s">
        <v>5</v>
      </c>
      <c r="B8" s="8"/>
      <c r="C8" s="4" t="s">
        <v>32</v>
      </c>
      <c r="D8" s="4"/>
      <c r="E8" s="4"/>
      <c r="F8" s="4"/>
      <c r="G8" s="4"/>
    </row>
    <row r="9" spans="1:7" x14ac:dyDescent="0.25">
      <c r="A9" s="8" t="s">
        <v>6</v>
      </c>
      <c r="B9" s="8"/>
      <c r="C9" s="4" t="s">
        <v>33</v>
      </c>
      <c r="D9" s="4"/>
      <c r="E9" s="4"/>
      <c r="F9" s="4"/>
      <c r="G9" s="4"/>
    </row>
    <row r="10" spans="1:7" x14ac:dyDescent="0.25">
      <c r="A10" s="7" t="s">
        <v>25</v>
      </c>
      <c r="B10" s="7"/>
      <c r="C10" s="7"/>
      <c r="D10" s="7"/>
      <c r="E10" s="7"/>
      <c r="F10" s="7"/>
      <c r="G10" s="7"/>
    </row>
    <row r="11" spans="1:7" x14ac:dyDescent="0.25">
      <c r="A11" s="8" t="s">
        <v>7</v>
      </c>
      <c r="B11" s="8"/>
      <c r="C11" s="4" t="s">
        <v>34</v>
      </c>
      <c r="D11" s="4"/>
      <c r="E11" s="4"/>
      <c r="F11" s="4"/>
      <c r="G11" s="4"/>
    </row>
    <row r="12" spans="1:7" x14ac:dyDescent="0.25">
      <c r="A12" s="8" t="s">
        <v>6</v>
      </c>
      <c r="B12" s="8"/>
      <c r="C12" s="4" t="s">
        <v>35</v>
      </c>
      <c r="D12" s="4"/>
      <c r="E12" s="4"/>
      <c r="F12" s="4"/>
      <c r="G12" s="4"/>
    </row>
    <row r="13" spans="1:7" x14ac:dyDescent="0.25">
      <c r="A13" s="7" t="s">
        <v>26</v>
      </c>
      <c r="B13" s="7"/>
      <c r="C13" s="7"/>
      <c r="D13" s="7"/>
      <c r="E13" s="7"/>
      <c r="F13" s="7"/>
      <c r="G13" s="7"/>
    </row>
    <row r="14" spans="1:7" x14ac:dyDescent="0.25">
      <c r="A14" s="8" t="s">
        <v>8</v>
      </c>
      <c r="B14" s="8"/>
      <c r="C14" s="4" t="s">
        <v>36</v>
      </c>
      <c r="D14" s="4"/>
      <c r="E14" s="4"/>
      <c r="F14" s="4"/>
      <c r="G14" s="4"/>
    </row>
    <row r="15" spans="1:7" x14ac:dyDescent="0.25">
      <c r="A15" s="8" t="s">
        <v>9</v>
      </c>
      <c r="B15" s="8"/>
      <c r="C15" s="11" t="s">
        <v>37</v>
      </c>
      <c r="D15" s="12"/>
      <c r="E15" s="12"/>
      <c r="F15" s="12"/>
      <c r="G15" s="13"/>
    </row>
    <row r="16" spans="1:7" x14ac:dyDescent="0.25">
      <c r="A16" s="8" t="s">
        <v>10</v>
      </c>
      <c r="B16" s="8"/>
      <c r="C16" s="4" t="s">
        <v>38</v>
      </c>
      <c r="D16" s="4"/>
      <c r="E16" s="4"/>
      <c r="F16" s="4"/>
      <c r="G16" s="4"/>
    </row>
    <row r="17" spans="1:7" x14ac:dyDescent="0.25">
      <c r="A17" s="8" t="s">
        <v>11</v>
      </c>
      <c r="B17" s="8"/>
      <c r="C17" s="4" t="s">
        <v>39</v>
      </c>
      <c r="D17" s="4"/>
      <c r="E17" s="4"/>
      <c r="F17" s="4"/>
      <c r="G17" s="4"/>
    </row>
    <row r="18" spans="1:7" x14ac:dyDescent="0.25">
      <c r="A18" s="5" t="s">
        <v>12</v>
      </c>
      <c r="B18" s="5"/>
      <c r="C18" s="5"/>
      <c r="D18" s="5"/>
      <c r="E18" s="5"/>
      <c r="F18" s="5"/>
      <c r="G18" s="5"/>
    </row>
    <row r="19" spans="1:7" x14ac:dyDescent="0.25">
      <c r="A19" s="6" t="s">
        <v>13</v>
      </c>
      <c r="B19" s="6" t="s">
        <v>48</v>
      </c>
      <c r="C19" s="6" t="s">
        <v>27</v>
      </c>
      <c r="D19" s="6" t="s">
        <v>14</v>
      </c>
      <c r="E19" s="6" t="s">
        <v>15</v>
      </c>
      <c r="F19" s="6" t="s">
        <v>16</v>
      </c>
      <c r="G19" s="6" t="s">
        <v>17</v>
      </c>
    </row>
    <row r="20" spans="1:7" ht="30" x14ac:dyDescent="0.25">
      <c r="A20" s="1">
        <v>1</v>
      </c>
      <c r="B20" s="1">
        <v>2354</v>
      </c>
      <c r="C20" s="14" t="s">
        <v>40</v>
      </c>
      <c r="D20" s="14" t="s">
        <v>41</v>
      </c>
      <c r="E20" s="15">
        <v>200.25</v>
      </c>
      <c r="F20" s="15">
        <f>E20*8%</f>
        <v>16.02</v>
      </c>
      <c r="G20" s="15">
        <f>F20+E20</f>
        <v>216.27</v>
      </c>
    </row>
    <row r="21" spans="1:7" ht="30" x14ac:dyDescent="0.25">
      <c r="A21" s="1">
        <v>2</v>
      </c>
      <c r="B21" s="1">
        <v>1758</v>
      </c>
      <c r="C21" s="14" t="s">
        <v>42</v>
      </c>
      <c r="D21" s="14" t="s">
        <v>43</v>
      </c>
      <c r="E21" s="15">
        <v>59.25</v>
      </c>
      <c r="F21" s="15">
        <f>E21*13%</f>
        <v>7.7025000000000006</v>
      </c>
      <c r="G21" s="15">
        <f>F21+E21</f>
        <v>66.952500000000001</v>
      </c>
    </row>
    <row r="22" spans="1:7" ht="30" x14ac:dyDescent="0.25">
      <c r="A22" s="1">
        <v>3</v>
      </c>
      <c r="B22" s="1">
        <v>3400</v>
      </c>
      <c r="C22" s="14" t="s">
        <v>44</v>
      </c>
      <c r="D22" s="14" t="s">
        <v>43</v>
      </c>
      <c r="E22" s="15">
        <v>156.75</v>
      </c>
      <c r="F22" s="15">
        <f>E22*13%</f>
        <v>20.377500000000001</v>
      </c>
      <c r="G22" s="15">
        <f>F22+E22</f>
        <v>177.1275</v>
      </c>
    </row>
    <row r="23" spans="1:7" ht="30" x14ac:dyDescent="0.25">
      <c r="A23" s="1">
        <v>4</v>
      </c>
      <c r="B23" s="1">
        <v>2187</v>
      </c>
      <c r="C23" s="14" t="s">
        <v>45</v>
      </c>
      <c r="D23" s="14" t="s">
        <v>43</v>
      </c>
      <c r="E23" s="15">
        <v>116.25</v>
      </c>
      <c r="F23" s="15">
        <f>E23*13%</f>
        <v>15.112500000000001</v>
      </c>
      <c r="G23" s="15">
        <f>F23+E23</f>
        <v>131.36250000000001</v>
      </c>
    </row>
    <row r="24" spans="1:7" x14ac:dyDescent="0.25">
      <c r="A24" s="1">
        <v>5</v>
      </c>
      <c r="B24" s="1">
        <v>1002</v>
      </c>
      <c r="C24" s="14" t="s">
        <v>46</v>
      </c>
      <c r="D24" s="14" t="s">
        <v>47</v>
      </c>
      <c r="E24" s="15">
        <v>25</v>
      </c>
      <c r="F24" s="15">
        <v>0</v>
      </c>
      <c r="G24" s="15">
        <f>F24+E24</f>
        <v>25</v>
      </c>
    </row>
    <row r="25" spans="1:7" x14ac:dyDescent="0.25">
      <c r="A25" s="1"/>
      <c r="B25" s="1"/>
      <c r="C25" s="14"/>
      <c r="D25" s="14"/>
      <c r="E25" s="15"/>
      <c r="F25" s="15"/>
      <c r="G25" s="15"/>
    </row>
    <row r="26" spans="1:7" x14ac:dyDescent="0.25">
      <c r="A26" s="1"/>
      <c r="B26" s="1"/>
      <c r="C26" s="14"/>
      <c r="D26" s="14"/>
      <c r="E26" s="15"/>
      <c r="F26" s="15"/>
      <c r="G26" s="15"/>
    </row>
    <row r="27" spans="1:7" x14ac:dyDescent="0.25">
      <c r="A27" s="1"/>
      <c r="B27" s="1"/>
      <c r="C27" s="14"/>
      <c r="D27" s="14"/>
      <c r="E27" s="15"/>
      <c r="F27" s="15"/>
      <c r="G27" s="15"/>
    </row>
    <row r="28" spans="1:7" x14ac:dyDescent="0.25">
      <c r="A28" s="1"/>
      <c r="B28" s="1"/>
      <c r="C28" s="14"/>
      <c r="D28" s="14"/>
      <c r="E28" s="15"/>
      <c r="F28" s="15"/>
      <c r="G28" s="15"/>
    </row>
    <row r="29" spans="1:7" x14ac:dyDescent="0.25">
      <c r="A29" s="20"/>
      <c r="B29" s="2"/>
      <c r="C29" s="2"/>
      <c r="D29" s="2"/>
      <c r="E29" s="2"/>
      <c r="F29" s="6" t="s">
        <v>17</v>
      </c>
      <c r="G29" s="16">
        <f>SUM(G20:G28)</f>
        <v>616.71250000000009</v>
      </c>
    </row>
    <row r="30" spans="1:7" x14ac:dyDescent="0.25">
      <c r="A30" s="20"/>
      <c r="B30" s="2"/>
      <c r="C30" s="2"/>
      <c r="D30" s="2"/>
      <c r="E30" s="2"/>
      <c r="F30" s="2"/>
      <c r="G30" s="21"/>
    </row>
    <row r="31" spans="1:7" x14ac:dyDescent="0.25">
      <c r="A31" s="7" t="s">
        <v>18</v>
      </c>
      <c r="B31" s="7"/>
      <c r="C31" s="7"/>
      <c r="D31" s="2"/>
      <c r="E31" s="2"/>
      <c r="F31" s="2"/>
      <c r="G31" s="21"/>
    </row>
    <row r="32" spans="1:7" x14ac:dyDescent="0.25">
      <c r="A32" s="8" t="s">
        <v>19</v>
      </c>
      <c r="B32" s="8"/>
      <c r="C32" s="17">
        <f>SUM(E20:E24)</f>
        <v>557.5</v>
      </c>
      <c r="D32" s="2"/>
      <c r="E32" s="2"/>
      <c r="F32" s="2"/>
      <c r="G32" s="21"/>
    </row>
    <row r="33" spans="1:7" x14ac:dyDescent="0.25">
      <c r="A33" s="8" t="s">
        <v>16</v>
      </c>
      <c r="B33" s="8"/>
      <c r="C33" s="17">
        <f>SUM(F20:F24)</f>
        <v>59.212500000000006</v>
      </c>
      <c r="D33" s="2"/>
      <c r="E33" s="2"/>
      <c r="F33" s="2"/>
      <c r="G33" s="21"/>
    </row>
    <row r="34" spans="1:7" x14ac:dyDescent="0.25">
      <c r="A34" s="8" t="s">
        <v>20</v>
      </c>
      <c r="B34" s="8"/>
      <c r="C34" s="18">
        <v>0</v>
      </c>
      <c r="D34" s="2"/>
      <c r="E34" s="2"/>
      <c r="F34" s="2"/>
      <c r="G34" s="21"/>
    </row>
    <row r="35" spans="1:7" x14ac:dyDescent="0.25">
      <c r="A35" s="8" t="s">
        <v>17</v>
      </c>
      <c r="B35" s="8"/>
      <c r="C35" s="17">
        <f>SUM(C32:C34)</f>
        <v>616.71249999999998</v>
      </c>
      <c r="D35" s="2"/>
      <c r="E35" s="2"/>
      <c r="F35" s="2"/>
      <c r="G35" s="21"/>
    </row>
    <row r="36" spans="1:7" x14ac:dyDescent="0.25">
      <c r="A36" s="8" t="s">
        <v>21</v>
      </c>
      <c r="B36" s="8"/>
      <c r="C36" s="19" t="s">
        <v>49</v>
      </c>
      <c r="D36" s="2"/>
      <c r="E36" s="2"/>
      <c r="F36" s="2"/>
      <c r="G36" s="21"/>
    </row>
    <row r="37" spans="1:7" x14ac:dyDescent="0.25">
      <c r="A37" s="8" t="s">
        <v>22</v>
      </c>
      <c r="B37" s="8"/>
      <c r="C37" s="19" t="s">
        <v>50</v>
      </c>
      <c r="D37" s="2"/>
      <c r="E37" s="2"/>
      <c r="F37" s="2"/>
      <c r="G37" s="21"/>
    </row>
    <row r="38" spans="1:7" x14ac:dyDescent="0.25">
      <c r="A38" s="20"/>
      <c r="B38" s="2"/>
      <c r="C38" s="2"/>
      <c r="D38" s="2"/>
      <c r="E38" s="2"/>
      <c r="F38" s="2"/>
      <c r="G38" s="21"/>
    </row>
    <row r="39" spans="1:7" x14ac:dyDescent="0.25">
      <c r="A39" s="20"/>
      <c r="B39" s="2"/>
      <c r="C39" s="2"/>
      <c r="D39" s="2"/>
      <c r="E39" s="2"/>
      <c r="F39" s="2"/>
      <c r="G39" s="21"/>
    </row>
    <row r="40" spans="1:7" x14ac:dyDescent="0.25">
      <c r="A40" s="20"/>
      <c r="B40" s="2"/>
      <c r="C40" s="2"/>
      <c r="D40" s="2"/>
      <c r="E40" s="2"/>
      <c r="F40" s="2"/>
      <c r="G40" s="21"/>
    </row>
    <row r="41" spans="1:7" x14ac:dyDescent="0.25">
      <c r="A41" s="20"/>
      <c r="B41" s="2"/>
      <c r="C41" s="2"/>
      <c r="D41" s="2"/>
      <c r="E41" s="2"/>
      <c r="F41" s="2"/>
      <c r="G41" s="21"/>
    </row>
    <row r="42" spans="1:7" x14ac:dyDescent="0.25">
      <c r="A42" s="20"/>
      <c r="B42" s="2"/>
      <c r="C42" s="2"/>
      <c r="D42" s="2"/>
      <c r="E42" s="2"/>
      <c r="F42" s="2"/>
      <c r="G42" s="21"/>
    </row>
    <row r="43" spans="1:7" x14ac:dyDescent="0.25">
      <c r="A43" s="22"/>
      <c r="B43" s="23"/>
      <c r="C43" s="23"/>
      <c r="D43" s="23"/>
      <c r="E43" s="23"/>
      <c r="F43" s="23"/>
      <c r="G43" s="24"/>
    </row>
  </sheetData>
  <mergeCells count="38">
    <mergeCell ref="A13:G13"/>
    <mergeCell ref="C14:G14"/>
    <mergeCell ref="C15:G15"/>
    <mergeCell ref="C16:G16"/>
    <mergeCell ref="C17:G17"/>
    <mergeCell ref="A31:C31"/>
    <mergeCell ref="A1:G1"/>
    <mergeCell ref="C2:G2"/>
    <mergeCell ref="C3:G3"/>
    <mergeCell ref="C4:G4"/>
    <mergeCell ref="A5:G5"/>
    <mergeCell ref="C6:G6"/>
    <mergeCell ref="C7:G7"/>
    <mergeCell ref="C8:G8"/>
    <mergeCell ref="C9:G9"/>
    <mergeCell ref="A10:G10"/>
    <mergeCell ref="C11:G11"/>
    <mergeCell ref="C12:G12"/>
    <mergeCell ref="A37:B37"/>
    <mergeCell ref="A33:B33"/>
    <mergeCell ref="A34:B34"/>
    <mergeCell ref="A35:B35"/>
    <mergeCell ref="A36:B36"/>
    <mergeCell ref="A3:B3"/>
    <mergeCell ref="A4:B4"/>
    <mergeCell ref="A6:B6"/>
    <mergeCell ref="A7:B7"/>
    <mergeCell ref="A9:B9"/>
    <mergeCell ref="A16:B16"/>
    <mergeCell ref="A32:B32"/>
    <mergeCell ref="A17:B17"/>
    <mergeCell ref="A18:G18"/>
    <mergeCell ref="A8:B8"/>
    <mergeCell ref="A11:B11"/>
    <mergeCell ref="A14:B14"/>
    <mergeCell ref="A15:B15"/>
    <mergeCell ref="A12:B12"/>
    <mergeCell ref="A2:B2"/>
  </mergeCells>
  <hyperlinks>
    <hyperlink ref="C7" r:id="rId1" xr:uid="{051EF45F-71DC-4384-B4CC-38E9130450E2}"/>
  </hyperlinks>
  <pageMargins left="0.25" right="0.2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Amaral</dc:creator>
  <cp:lastModifiedBy>Bruno Amaral</cp:lastModifiedBy>
  <cp:lastPrinted>2026-02-03T20:23:20Z</cp:lastPrinted>
  <dcterms:created xsi:type="dcterms:W3CDTF">2026-02-03T19:53:01Z</dcterms:created>
  <dcterms:modified xsi:type="dcterms:W3CDTF">2026-02-03T20:24:47Z</dcterms:modified>
</cp:coreProperties>
</file>